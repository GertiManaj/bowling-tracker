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bowling/Informazioni - NO WEB/"/>
    </mc:Choice>
  </mc:AlternateContent>
  <xr:revisionPtr revIDLastSave="0" documentId="13_ncr:1_{B418C8C7-D5DF-A24C-87E2-A6383C44431A}" xr6:coauthVersionLast="47" xr6:coauthVersionMax="47" xr10:uidLastSave="{00000000-0000-0000-0000-000000000000}"/>
  <bookViews>
    <workbookView xWindow="0" yWindow="600" windowWidth="28800" windowHeight="15440" xr2:uid="{3E9E4894-523C-2F49-A3D0-43BF00619AA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C14" i="1"/>
  <c r="D14" i="1"/>
  <c r="E14" i="1"/>
  <c r="F14" i="1"/>
  <c r="G14" i="1"/>
  <c r="H14" i="1"/>
  <c r="B14" i="1"/>
</calcChain>
</file>

<file path=xl/sharedStrings.xml><?xml version="1.0" encoding="utf-8"?>
<sst xmlns="http://schemas.openxmlformats.org/spreadsheetml/2006/main" count="11" uniqueCount="11">
  <si>
    <t>PUNTEGGIO + NOME</t>
  </si>
  <si>
    <t>DATA</t>
  </si>
  <si>
    <t>MANA</t>
  </si>
  <si>
    <t>NICO</t>
  </si>
  <si>
    <t>SAMU</t>
  </si>
  <si>
    <t>WILLY</t>
  </si>
  <si>
    <t>MAZZA</t>
  </si>
  <si>
    <t>SEME</t>
  </si>
  <si>
    <t>DEGA</t>
  </si>
  <si>
    <t>SAMMY</t>
  </si>
  <si>
    <t>N Sfida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</si>
</sst>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9529E0-BDB8-BA46-89EC-976DE10C557B}" name="Tabella2" displayName="Tabella2" ref="A2:J14" totalsRowCount="1" headerRowDxfId="21" dataDxfId="20">
  <autoFilter ref="A2:J13" xr:uid="{A69529E0-BDB8-BA46-89EC-976DE10C557B}"/>
  <tableColumns count="10">
    <tableColumn id="1" xr3:uid="{00835B31-6CF6-BA4D-B929-31567B487D60}" name="DATA" dataDxfId="19" totalsRowDxfId="9"/>
    <tableColumn id="2" xr3:uid="{289B226D-054F-B64F-BB5F-BDEA50EE6C88}" name="MANA" totalsRowFunction="average" dataDxfId="18" totalsRowDxfId="8"/>
    <tableColumn id="3" xr3:uid="{A8CD758F-2368-4A4B-AECD-1762C5B63CA8}" name="SAMU" totalsRowFunction="average" dataDxfId="17" totalsRowDxfId="7"/>
    <tableColumn id="4" xr3:uid="{19AD3713-E0F6-6840-9433-C1000FC7D176}" name="NICO" totalsRowFunction="average" dataDxfId="16" totalsRowDxfId="6"/>
    <tableColumn id="5" xr3:uid="{B129DB65-B673-5F40-A6DA-6DCEFABEDFC1}" name="WILLY" totalsRowFunction="average" dataDxfId="15" totalsRowDxfId="5"/>
    <tableColumn id="6" xr3:uid="{65608DFD-6863-4449-A77D-57D49A8DB660}" name="MAZZA" totalsRowFunction="average" dataDxfId="14" totalsRowDxfId="4"/>
    <tableColumn id="7" xr3:uid="{60B3FF51-2023-4941-A526-11E8F4498F6C}" name="SEME" totalsRowFunction="average" dataDxfId="13" totalsRowDxfId="3"/>
    <tableColumn id="8" xr3:uid="{2332A3C3-A25F-4A45-9443-0BCA67C24639}" name="DEGA" totalsRowFunction="average" dataDxfId="12" totalsRowDxfId="2"/>
    <tableColumn id="9" xr3:uid="{1029398F-7D33-3C41-BEFC-04B44598CD5F}" name="SAMMY" totalsRowFunction="average" dataDxfId="11" totalsRowDxfId="1"/>
    <tableColumn id="10" xr3:uid="{AA98F900-5337-C242-8209-D21553C7884C}" name="N Sfida" dataDxfId="1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4847-4B81-EB49-BFB2-DE521F68E116}">
  <dimension ref="A1:J14"/>
  <sheetViews>
    <sheetView tabSelected="1" zoomScale="130" zoomScaleNormal="130" workbookViewId="0">
      <selection activeCell="F7" sqref="F7"/>
    </sheetView>
  </sheetViews>
  <sheetFormatPr baseColWidth="10" defaultRowHeight="16" x14ac:dyDescent="0.2"/>
  <sheetData>
    <row r="1" spans="1:10" x14ac:dyDescent="0.2">
      <c r="A1" s="1"/>
      <c r="B1" s="3" t="s">
        <v>0</v>
      </c>
      <c r="C1" s="3"/>
      <c r="D1" s="3"/>
      <c r="E1" s="3"/>
      <c r="F1" s="3"/>
      <c r="G1" s="3"/>
      <c r="H1" s="3"/>
      <c r="I1" s="3"/>
    </row>
    <row r="2" spans="1:10" x14ac:dyDescent="0.2">
      <c r="A2" s="1" t="s">
        <v>1</v>
      </c>
      <c r="B2" s="1" t="s">
        <v>2</v>
      </c>
      <c r="C2" s="1" t="s">
        <v>4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">
      <c r="A3" s="2">
        <v>46096</v>
      </c>
      <c r="B3" s="1">
        <v>175</v>
      </c>
      <c r="C3" s="1">
        <v>93</v>
      </c>
      <c r="D3" s="1">
        <v>170</v>
      </c>
      <c r="E3" s="1"/>
      <c r="F3" s="1">
        <v>102</v>
      </c>
      <c r="G3" s="1">
        <v>160</v>
      </c>
      <c r="H3" s="1">
        <v>126</v>
      </c>
      <c r="I3" s="1">
        <v>86</v>
      </c>
      <c r="J3" s="1">
        <v>1</v>
      </c>
    </row>
    <row r="4" spans="1:10" x14ac:dyDescent="0.2">
      <c r="A4" s="2">
        <v>46096</v>
      </c>
      <c r="B4" s="1">
        <v>179</v>
      </c>
      <c r="C4" s="1">
        <v>139</v>
      </c>
      <c r="D4" s="1">
        <v>100</v>
      </c>
      <c r="E4" s="1"/>
      <c r="F4" s="1">
        <v>132</v>
      </c>
      <c r="G4" s="1">
        <v>134</v>
      </c>
      <c r="H4" s="1">
        <v>117</v>
      </c>
      <c r="I4" s="1">
        <v>99</v>
      </c>
      <c r="J4" s="1">
        <v>1</v>
      </c>
    </row>
    <row r="5" spans="1:10" x14ac:dyDescent="0.2">
      <c r="A5" s="2">
        <v>46098</v>
      </c>
      <c r="B5" s="1">
        <v>177</v>
      </c>
      <c r="C5" s="1">
        <v>109</v>
      </c>
      <c r="D5" s="1">
        <v>126</v>
      </c>
      <c r="E5" s="1">
        <v>118</v>
      </c>
      <c r="F5" s="1">
        <v>159</v>
      </c>
      <c r="G5" s="1"/>
      <c r="H5" s="1">
        <v>117</v>
      </c>
      <c r="I5" s="1"/>
      <c r="J5" s="1">
        <v>1</v>
      </c>
    </row>
    <row r="6" spans="1:10" x14ac:dyDescent="0.2">
      <c r="A6" s="2">
        <v>46098</v>
      </c>
      <c r="B6" s="1">
        <v>126</v>
      </c>
      <c r="C6" s="1">
        <v>137</v>
      </c>
      <c r="D6" s="1">
        <v>144</v>
      </c>
      <c r="E6" s="1">
        <v>118</v>
      </c>
      <c r="F6" s="1">
        <v>151</v>
      </c>
      <c r="G6" s="1"/>
      <c r="H6" s="1">
        <v>128</v>
      </c>
      <c r="I6" s="1"/>
      <c r="J6" s="1">
        <v>1</v>
      </c>
    </row>
    <row r="7" spans="1:10" x14ac:dyDescent="0.2">
      <c r="A7" s="2">
        <v>46098</v>
      </c>
      <c r="B7" s="1">
        <v>138</v>
      </c>
      <c r="C7" s="1">
        <v>139</v>
      </c>
      <c r="D7" s="1">
        <v>143</v>
      </c>
      <c r="E7" s="1">
        <v>114</v>
      </c>
      <c r="F7" s="1">
        <v>102</v>
      </c>
      <c r="G7" s="1">
        <v>144</v>
      </c>
      <c r="H7" s="1"/>
      <c r="I7" s="1">
        <v>81</v>
      </c>
      <c r="J7" s="1">
        <v>2</v>
      </c>
    </row>
    <row r="8" spans="1:10" x14ac:dyDescent="0.2">
      <c r="A8" s="2">
        <v>46100</v>
      </c>
      <c r="B8" s="1">
        <v>163</v>
      </c>
      <c r="C8" s="1">
        <v>133</v>
      </c>
      <c r="D8" s="1">
        <v>138</v>
      </c>
      <c r="E8" s="1">
        <v>139</v>
      </c>
      <c r="F8" s="1">
        <v>114</v>
      </c>
      <c r="G8" s="1">
        <v>145</v>
      </c>
      <c r="H8" s="1"/>
      <c r="I8" s="1">
        <v>97</v>
      </c>
      <c r="J8" s="1">
        <v>1</v>
      </c>
    </row>
    <row r="9" spans="1:10" x14ac:dyDescent="0.2">
      <c r="A9" s="2">
        <v>46100</v>
      </c>
      <c r="B9" s="1">
        <v>138</v>
      </c>
      <c r="C9" s="1">
        <v>109</v>
      </c>
      <c r="D9" s="1">
        <v>132</v>
      </c>
      <c r="E9" s="1">
        <v>124</v>
      </c>
      <c r="F9" s="1">
        <v>117</v>
      </c>
      <c r="G9" s="1">
        <v>98</v>
      </c>
      <c r="H9" s="1"/>
      <c r="I9" s="1">
        <v>97</v>
      </c>
      <c r="J9" s="1">
        <v>1</v>
      </c>
    </row>
    <row r="10" spans="1:10" x14ac:dyDescent="0.2">
      <c r="A10" s="2">
        <v>46100</v>
      </c>
      <c r="B10" s="1">
        <v>133</v>
      </c>
      <c r="C10" s="1">
        <v>135</v>
      </c>
      <c r="D10" s="1">
        <v>132</v>
      </c>
      <c r="E10" s="1"/>
      <c r="F10" s="1">
        <v>131</v>
      </c>
      <c r="G10" s="1"/>
      <c r="H10" s="1"/>
      <c r="I10" s="1">
        <v>135</v>
      </c>
      <c r="J10" s="1">
        <v>2</v>
      </c>
    </row>
    <row r="11" spans="1:10" x14ac:dyDescent="0.2">
      <c r="A11" s="2">
        <v>46102</v>
      </c>
      <c r="B11" s="1">
        <v>117</v>
      </c>
      <c r="C11" s="1">
        <v>133</v>
      </c>
      <c r="D11" s="1">
        <v>103</v>
      </c>
      <c r="E11" s="1"/>
      <c r="F11" s="1">
        <v>107</v>
      </c>
      <c r="G11" s="1"/>
      <c r="H11" s="1">
        <v>100</v>
      </c>
      <c r="I11" s="1">
        <v>86</v>
      </c>
      <c r="J11" s="1">
        <v>1</v>
      </c>
    </row>
    <row r="12" spans="1:10" x14ac:dyDescent="0.2">
      <c r="A12" s="2">
        <v>46102</v>
      </c>
      <c r="B12" s="1">
        <v>142</v>
      </c>
      <c r="C12" s="1">
        <v>114</v>
      </c>
      <c r="D12" s="1">
        <v>189</v>
      </c>
      <c r="E12" s="1"/>
      <c r="F12" s="1">
        <v>128</v>
      </c>
      <c r="G12" s="1"/>
      <c r="H12" s="1">
        <v>144</v>
      </c>
      <c r="I12" s="1">
        <v>91</v>
      </c>
      <c r="J12" s="1">
        <v>1</v>
      </c>
    </row>
    <row r="13" spans="1:10" x14ac:dyDescent="0.2">
      <c r="A13" s="2">
        <v>46102</v>
      </c>
      <c r="B13" s="1">
        <v>189</v>
      </c>
      <c r="C13" s="1">
        <v>156</v>
      </c>
      <c r="D13" s="1">
        <v>138</v>
      </c>
      <c r="E13" s="1"/>
      <c r="F13" s="1">
        <v>163</v>
      </c>
      <c r="G13" s="1"/>
      <c r="H13" s="1">
        <v>140</v>
      </c>
      <c r="I13" s="1">
        <v>144</v>
      </c>
      <c r="J13" s="1">
        <v>1</v>
      </c>
    </row>
    <row r="14" spans="1:10" x14ac:dyDescent="0.2">
      <c r="A14" s="1"/>
      <c r="B14" s="1">
        <f>SUBTOTAL(101,Tabella2[MANA])</f>
        <v>152.45454545454547</v>
      </c>
      <c r="C14" s="1">
        <f>SUBTOTAL(101,Tabella2[SAMU])</f>
        <v>127</v>
      </c>
      <c r="D14" s="1">
        <f>SUBTOTAL(101,Tabella2[NICO])</f>
        <v>137.72727272727272</v>
      </c>
      <c r="E14" s="1">
        <f>SUBTOTAL(101,Tabella2[WILLY])</f>
        <v>122.6</v>
      </c>
      <c r="F14" s="1">
        <f>SUBTOTAL(101,Tabella2[MAZZA])</f>
        <v>127.81818181818181</v>
      </c>
      <c r="G14" s="1">
        <f>SUBTOTAL(101,Tabella2[SEME])</f>
        <v>136.19999999999999</v>
      </c>
      <c r="H14" s="1">
        <f>SUBTOTAL(101,Tabella2[DEGA])</f>
        <v>124.57142857142857</v>
      </c>
      <c r="I14" s="1">
        <f>SUBTOTAL(101,Tabella2[SAMMY])</f>
        <v>101.77777777777777</v>
      </c>
      <c r="J14" s="1"/>
    </row>
  </sheetData>
  <mergeCells count="1">
    <mergeCell ref="B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Gerti Manaj</dc:creator>
  <cp:lastModifiedBy>Gerti Manaj</cp:lastModifiedBy>
  <dcterms:created xsi:type="dcterms:W3CDTF">2026-03-19T23:54:21Z</dcterms:created>
  <dcterms:modified xsi:type="dcterms:W3CDTF">2026-03-21T23:43:55Z</dcterms:modified>
</cp:coreProperties>
</file>